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xr:revisionPtr revIDLastSave="0" documentId="13_ncr:1_{62E073FC-A37F-4395-A773-92DE8A38BDC1}" xr6:coauthVersionLast="47" xr6:coauthVersionMax="47" xr10:uidLastSave="{00000000-0000-0000-0000-000000000000}"/>
  <bookViews>
    <workbookView xWindow="-108" yWindow="-108" windowWidth="23256" windowHeight="13896" xr2:uid="{3C41617E-2714-444B-BE25-A0BBFA4C1514}"/>
  </bookViews>
  <sheets>
    <sheet name="Base" sheetId="1" r:id="rId1"/>
    <sheet name="Rules" sheetId="2" r:id="rId2"/>
    <sheet name="Pivot_Table" sheetId="3" r:id="rId3"/>
  </sheets>
  <definedNames>
    <definedName name="_xlnm._FilterDatabase" localSheetId="2" hidden="1">Pivot_Table!#REF!</definedName>
  </definedNames>
  <calcPr calcId="191029"/>
  <pivotCaches>
    <pivotCache cacheId="23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" i="3" l="1"/>
  <c r="H2" i="3"/>
  <c r="H3" i="3"/>
  <c r="H5" i="3"/>
  <c r="G4" i="3"/>
  <c r="G2" i="3"/>
  <c r="G3" i="3"/>
  <c r="G5" i="3"/>
  <c r="J5" i="2"/>
</calcChain>
</file>

<file path=xl/sharedStrings.xml><?xml version="1.0" encoding="utf-8"?>
<sst xmlns="http://schemas.openxmlformats.org/spreadsheetml/2006/main" count="34" uniqueCount="20">
  <si>
    <t>SD_RULES</t>
  </si>
  <si>
    <t>.903.</t>
  </si>
  <si>
    <t>.903.905.</t>
  </si>
  <si>
    <t>.608.903.905.</t>
  </si>
  <si>
    <t>.422.</t>
  </si>
  <si>
    <t>.905.903.</t>
  </si>
  <si>
    <t>Rule id</t>
  </si>
  <si>
    <t>Rule Name</t>
  </si>
  <si>
    <t>AX</t>
  </si>
  <si>
    <t>CB</t>
  </si>
  <si>
    <t>GH</t>
  </si>
  <si>
    <t>DY</t>
  </si>
  <si>
    <t>.608.</t>
  </si>
  <si>
    <t>.905.</t>
  </si>
  <si>
    <t>Portfolio</t>
  </si>
  <si>
    <t>ENET</t>
  </si>
  <si>
    <t>CBX</t>
  </si>
  <si>
    <t>Count of SD_RULES</t>
  </si>
  <si>
    <t>Row Labels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</si>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</sst>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49" fontId="1" fillId="0" borderId="0" xfId="0" applyNumberFormat="1" applyFont="1"/>
    <xf numFmtId="49" fontId="0" fillId="0" borderId="0" xfId="0" applyNumberForma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1" fillId="2" borderId="1" xfId="0" applyFont="1" applyFill="1" applyBorder="1"/>
    <xf numFmtId="0" fontId="0" fillId="0" borderId="1" xfId="0" applyBorder="1"/>
    <xf numFmtId="0" fontId="1" fillId="2" borderId="1" xfId="0" applyFont="1" applyFill="1" applyBorder="1" applyAlignment="1">
      <alignment horizontal="center"/>
    </xf>
  </cellXfs>
  <cellStyles count="1">
    <cellStyle name="Normal" xfId="0" builtinId="0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RAMIT NANDI" refreshedDate="45663.036885879628" createdVersion="8" refreshedVersion="8" minRefreshableVersion="3" recordCount="20" xr:uid="{D0B76C82-40D8-4E4D-8998-3B6944F6DC2A}">
  <cacheSource type="worksheet">
    <worksheetSource name="Table1"/>
  </cacheSource>
  <cacheFields count="1">
    <cacheField name="SD_RULES" numFmtId="0">
      <sharedItems containsSemiMixedTypes="0" containsString="0" containsNumber="1" containsInteger="1" minValue="422" maxValue="905" count="4">
        <n v="905"/>
        <n v="903"/>
        <n v="608"/>
        <n v="422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x v="0"/>
  </r>
  <r>
    <x v="1"/>
  </r>
  <r>
    <x v="1"/>
  </r>
  <r>
    <x v="2"/>
  </r>
  <r>
    <x v="3"/>
  </r>
  <r>
    <x v="2"/>
  </r>
  <r>
    <x v="0"/>
  </r>
  <r>
    <x v="3"/>
  </r>
  <r>
    <x v="2"/>
  </r>
  <r>
    <x v="2"/>
  </r>
  <r>
    <x v="3"/>
  </r>
  <r>
    <x v="2"/>
  </r>
  <r>
    <x v="0"/>
  </r>
  <r>
    <x v="0"/>
  </r>
  <r>
    <x v="1"/>
  </r>
  <r>
    <x v="1"/>
  </r>
  <r>
    <x v="1"/>
  </r>
  <r>
    <x v="1"/>
  </r>
  <r>
    <x v="0"/>
  </r>
  <r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C02454A-745A-447D-90A1-3A055E7735C7}" name="PivotTable1" cacheId="23" applyNumberFormats="0" applyBorderFormats="0" applyFontFormats="0" applyPatternFormats="0" applyAlignmentFormats="0" applyWidthHeightFormats="1" dataCaption="Values" updatedVersion="8" minRefreshableVersion="3" asteriskTotals="1" showMemberPropertyTips="0" useAutoFormatting="1" pageOverThenDown="1" itemPrintTitles="1" createdVersion="8" indent="0" outline="1" outlineData="1" multipleFieldFilters="0">
  <location ref="C3:D8" firstHeaderRow="1" firstDataRow="1" firstDataCol="1"/>
  <pivotFields count="1">
    <pivotField axis="axisRow" dataField="1" showAll="0">
      <items count="5">
        <item x="3"/>
        <item x="2"/>
        <item x="1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ount of SD_RULES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6B26A3-5793-4629-A27A-F7C1D9B3D8FA}" name="Rules_Table" displayName="Rules_Table" ref="A1:C5" totalsRowShown="0">
  <autoFilter ref="A1:C5" xr:uid="{D36B26A3-5793-4629-A27A-F7C1D9B3D8FA}"/>
  <tableColumns count="3">
    <tableColumn id="1" xr3:uid="{63EC0EA2-C440-4498-93BD-281745DB88BC}" name="Rule id"/>
    <tableColumn id="2" xr3:uid="{6029BBFD-7A0D-487D-A329-9BC4655D98F4}" name="Rule Name"/>
    <tableColumn id="3" xr3:uid="{A3B046D9-1944-4F1B-8A8C-EBFB18FED99E}" name="Portfoli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1BB4F6-F7E1-44DE-98BC-7D208CCF5E8D}" name="Table1" displayName="Table1" ref="A1:A21" totalsRowShown="0" headerRowDxfId="0">
  <autoFilter ref="A1:A21" xr:uid="{061BB4F6-F7E1-44DE-98BC-7D208CCF5E8D}"/>
  <tableColumns count="1">
    <tableColumn id="1" xr3:uid="{D928D978-6C16-4346-A531-FC4C12DA711E}" name="SD_RUL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9F599-C6C8-41B2-8EA7-C66CB831F89A}">
  <sheetPr codeName="Sheet1"/>
  <dimension ref="F1:H14"/>
  <sheetViews>
    <sheetView tabSelected="1" workbookViewId="0"/>
  </sheetViews>
  <sheetFormatPr defaultRowHeight="14.4" x14ac:dyDescent="0.3"/>
  <cols>
    <col min="1" max="1" width="11.44140625" style="2" customWidth="1"/>
    <col min="2" max="16384" width="8.88671875" style="2"/>
  </cols>
  <sheetData>
    <row r="1" spans="6:8" x14ac:dyDescent="0.3">
      <c r="F1" s="1"/>
      <c r="H1" s="1" t="s">
        <v>0</v>
      </c>
    </row>
    <row r="2" spans="6:8" x14ac:dyDescent="0.3">
      <c r="H2" s="2" t="s">
        <v>13</v>
      </c>
    </row>
    <row r="3" spans="6:8" x14ac:dyDescent="0.3">
      <c r="H3" s="2" t="s">
        <v>1</v>
      </c>
    </row>
    <row r="4" spans="6:8" x14ac:dyDescent="0.3">
      <c r="H4" s="2" t="s">
        <v>2</v>
      </c>
    </row>
    <row r="5" spans="6:8" x14ac:dyDescent="0.3">
      <c r="H5" s="2" t="s">
        <v>3</v>
      </c>
    </row>
    <row r="6" spans="6:8" x14ac:dyDescent="0.3">
      <c r="H6" s="2" t="s">
        <v>4</v>
      </c>
    </row>
    <row r="7" spans="6:8" x14ac:dyDescent="0.3">
      <c r="H7" s="2" t="s">
        <v>12</v>
      </c>
    </row>
    <row r="8" spans="6:8" x14ac:dyDescent="0.3">
      <c r="H8" s="2" t="s">
        <v>5</v>
      </c>
    </row>
    <row r="9" spans="6:8" x14ac:dyDescent="0.3">
      <c r="H9" s="2" t="s">
        <v>4</v>
      </c>
    </row>
    <row r="10" spans="6:8" x14ac:dyDescent="0.3">
      <c r="H10" s="2" t="s">
        <v>12</v>
      </c>
    </row>
    <row r="11" spans="6:8" x14ac:dyDescent="0.3">
      <c r="H11" s="2" t="s">
        <v>3</v>
      </c>
    </row>
    <row r="12" spans="6:8" x14ac:dyDescent="0.3">
      <c r="H12" s="2" t="s">
        <v>4</v>
      </c>
    </row>
    <row r="13" spans="6:8" x14ac:dyDescent="0.3">
      <c r="H13" s="2" t="s">
        <v>12</v>
      </c>
    </row>
    <row r="14" spans="6:8" x14ac:dyDescent="0.3">
      <c r="H14" s="2" t="s">
        <v>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B59D4-BFB0-49C2-BF8C-504475396402}">
  <sheetPr codeName="Sheet2"/>
  <dimension ref="A1:J5"/>
  <sheetViews>
    <sheetView workbookViewId="0">
      <selection activeCell="C9" sqref="C9"/>
    </sheetView>
  </sheetViews>
  <sheetFormatPr defaultRowHeight="14.4" x14ac:dyDescent="0.3"/>
  <cols>
    <col min="2" max="2" width="12" customWidth="1"/>
  </cols>
  <sheetData>
    <row r="1" spans="1:10" x14ac:dyDescent="0.3">
      <c r="A1" t="s">
        <v>6</v>
      </c>
      <c r="B1" t="s">
        <v>7</v>
      </c>
      <c r="C1" t="s">
        <v>14</v>
      </c>
    </row>
    <row r="2" spans="1:10" x14ac:dyDescent="0.3">
      <c r="A2">
        <v>422</v>
      </c>
      <c r="B2" t="s">
        <v>8</v>
      </c>
      <c r="C2" t="s">
        <v>15</v>
      </c>
    </row>
    <row r="3" spans="1:10" x14ac:dyDescent="0.3">
      <c r="A3">
        <v>608</v>
      </c>
      <c r="B3" t="s">
        <v>10</v>
      </c>
      <c r="C3" t="s">
        <v>16</v>
      </c>
    </row>
    <row r="4" spans="1:10" x14ac:dyDescent="0.3">
      <c r="A4">
        <v>903</v>
      </c>
      <c r="B4" t="s">
        <v>9</v>
      </c>
      <c r="C4" t="s">
        <v>16</v>
      </c>
    </row>
    <row r="5" spans="1:10" x14ac:dyDescent="0.3">
      <c r="A5">
        <v>905</v>
      </c>
      <c r="B5" t="s">
        <v>11</v>
      </c>
      <c r="C5" t="s">
        <v>15</v>
      </c>
      <c r="J5">
        <f>MATCH("Rule Name",Rules_Table[#Headers],0)</f>
        <v>2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EEB4D-D8DF-45D9-863F-5C4A72459979}">
  <sheetPr codeName="Sheet3"/>
  <dimension ref="A1:I21"/>
  <sheetViews>
    <sheetView workbookViewId="0">
      <selection activeCell="I6" sqref="I6"/>
    </sheetView>
  </sheetViews>
  <sheetFormatPr defaultRowHeight="14.4" x14ac:dyDescent="0.3"/>
  <cols>
    <col min="1" max="1" width="11.44140625" customWidth="1"/>
    <col min="2" max="2" width="8.21875" bestFit="1" customWidth="1"/>
    <col min="3" max="3" width="12.5546875" bestFit="1" customWidth="1"/>
    <col min="4" max="4" width="17.5546875" bestFit="1" customWidth="1"/>
    <col min="5" max="5" width="8.21875" bestFit="1" customWidth="1"/>
    <col min="6" max="6" width="6.44140625" bestFit="1" customWidth="1"/>
    <col min="7" max="7" width="9.88671875" bestFit="1" customWidth="1"/>
    <col min="8" max="8" width="8.21875" bestFit="1" customWidth="1"/>
    <col min="9" max="9" width="17" bestFit="1" customWidth="1"/>
  </cols>
  <sheetData>
    <row r="1" spans="1:9" x14ac:dyDescent="0.3">
      <c r="A1" s="1" t="s">
        <v>0</v>
      </c>
      <c r="F1" s="6" t="s">
        <v>6</v>
      </c>
      <c r="G1" s="6" t="s">
        <v>7</v>
      </c>
      <c r="H1" s="6" t="s">
        <v>14</v>
      </c>
      <c r="I1" s="6" t="s">
        <v>17</v>
      </c>
    </row>
    <row r="2" spans="1:9" x14ac:dyDescent="0.3">
      <c r="A2">
        <v>905</v>
      </c>
      <c r="F2" s="7">
        <v>903</v>
      </c>
      <c r="G2" s="7" t="str">
        <f>VLOOKUP(F2,Rules_Table[],MATCH("Rule Name",Rules_Table[#Headers],0),FALSE)</f>
        <v>CB</v>
      </c>
      <c r="H2" s="7" t="str">
        <f>VLOOKUP(F2,Rules_Table[],MATCH("Portfolio",Rules_Table[#Headers],0),FALSE)</f>
        <v>CBX</v>
      </c>
      <c r="I2" s="7">
        <v>6</v>
      </c>
    </row>
    <row r="3" spans="1:9" x14ac:dyDescent="0.3">
      <c r="A3">
        <v>903</v>
      </c>
      <c r="C3" s="4" t="s">
        <v>18</v>
      </c>
      <c r="D3" t="s">
        <v>17</v>
      </c>
      <c r="F3" s="7">
        <v>905</v>
      </c>
      <c r="G3" s="7" t="str">
        <f>VLOOKUP(F3,Rules_Table[],MATCH("Rule Name",Rules_Table[#Headers],0),FALSE)</f>
        <v>DY</v>
      </c>
      <c r="H3" s="7" t="str">
        <f>VLOOKUP(F3,Rules_Table[],MATCH("Portfolio",Rules_Table[#Headers],0),FALSE)</f>
        <v>ENET</v>
      </c>
      <c r="I3" s="7">
        <v>6</v>
      </c>
    </row>
    <row r="4" spans="1:9" x14ac:dyDescent="0.3">
      <c r="A4">
        <v>903</v>
      </c>
      <c r="C4" s="5">
        <v>422</v>
      </c>
      <c r="D4" s="3">
        <v>3</v>
      </c>
      <c r="F4" s="7">
        <v>608</v>
      </c>
      <c r="G4" s="7" t="str">
        <f>VLOOKUP(F4,Rules_Table[],MATCH("Rule Name",Rules_Table[#Headers],0),FALSE)</f>
        <v>GH</v>
      </c>
      <c r="H4" s="7" t="str">
        <f>VLOOKUP(F4,Rules_Table[],MATCH("Portfolio",Rules_Table[#Headers],0),FALSE)</f>
        <v>CBX</v>
      </c>
      <c r="I4" s="7">
        <v>5</v>
      </c>
    </row>
    <row r="5" spans="1:9" x14ac:dyDescent="0.3">
      <c r="A5">
        <v>608</v>
      </c>
      <c r="C5" s="5">
        <v>608</v>
      </c>
      <c r="D5" s="3">
        <v>5</v>
      </c>
      <c r="F5" s="7">
        <v>422</v>
      </c>
      <c r="G5" s="7" t="str">
        <f>VLOOKUP(F5,Rules_Table[],MATCH("Rule Name",Rules_Table[#Headers],0),FALSE)</f>
        <v>AX</v>
      </c>
      <c r="H5" s="7" t="str">
        <f>VLOOKUP(F5,Rules_Table[],MATCH("Portfolio",Rules_Table[#Headers],0),FALSE)</f>
        <v>ENET</v>
      </c>
      <c r="I5" s="7">
        <v>3</v>
      </c>
    </row>
    <row r="6" spans="1:9" x14ac:dyDescent="0.3">
      <c r="A6">
        <v>422</v>
      </c>
      <c r="C6" s="5">
        <v>903</v>
      </c>
      <c r="D6" s="3">
        <v>6</v>
      </c>
      <c r="F6" s="8" t="s">
        <v>19</v>
      </c>
      <c r="G6" s="8"/>
      <c r="H6" s="8"/>
      <c r="I6" s="6">
        <v>20</v>
      </c>
    </row>
    <row r="7" spans="1:9" x14ac:dyDescent="0.3">
      <c r="A7">
        <v>608</v>
      </c>
      <c r="C7" s="5">
        <v>905</v>
      </c>
      <c r="D7" s="3">
        <v>6</v>
      </c>
    </row>
    <row r="8" spans="1:9" x14ac:dyDescent="0.3">
      <c r="A8">
        <v>905</v>
      </c>
      <c r="C8" s="5" t="s">
        <v>19</v>
      </c>
      <c r="D8" s="3">
        <v>20</v>
      </c>
    </row>
    <row r="9" spans="1:9" x14ac:dyDescent="0.3">
      <c r="A9">
        <v>422</v>
      </c>
    </row>
    <row r="10" spans="1:9" x14ac:dyDescent="0.3">
      <c r="A10">
        <v>608</v>
      </c>
    </row>
    <row r="11" spans="1:9" x14ac:dyDescent="0.3">
      <c r="A11">
        <v>608</v>
      </c>
    </row>
    <row r="12" spans="1:9" x14ac:dyDescent="0.3">
      <c r="A12">
        <v>422</v>
      </c>
    </row>
    <row r="13" spans="1:9" x14ac:dyDescent="0.3">
      <c r="A13">
        <v>608</v>
      </c>
    </row>
    <row r="14" spans="1:9" x14ac:dyDescent="0.3">
      <c r="A14">
        <v>905</v>
      </c>
    </row>
    <row r="15" spans="1:9" x14ac:dyDescent="0.3">
      <c r="A15">
        <v>905</v>
      </c>
    </row>
    <row r="16" spans="1:9" x14ac:dyDescent="0.3">
      <c r="A16">
        <v>903</v>
      </c>
    </row>
    <row r="17" spans="1:1" x14ac:dyDescent="0.3">
      <c r="A17">
        <v>903</v>
      </c>
    </row>
    <row r="18" spans="1:1" x14ac:dyDescent="0.3">
      <c r="A18">
        <v>903</v>
      </c>
    </row>
    <row r="19" spans="1:1" x14ac:dyDescent="0.3">
      <c r="A19">
        <v>903</v>
      </c>
    </row>
    <row r="20" spans="1:1" x14ac:dyDescent="0.3">
      <c r="A20">
        <v>905</v>
      </c>
    </row>
    <row r="21" spans="1:1" x14ac:dyDescent="0.3">
      <c r="A21">
        <v>905</v>
      </c>
    </row>
  </sheetData>
  <sortState xmlns:xlrd2="http://schemas.microsoft.com/office/spreadsheetml/2017/richdata2" ref="F2:I5">
    <sortCondition descending="1" ref="I2:I5"/>
  </sortState>
  <mergeCells count="1">
    <mergeCell ref="F6:H6"/>
  </mergeCells>
  <pageMargins left="0.7" right="0.7" top="0.75" bottom="0.75" header="0.3" footer="0.3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Base</vt:lpstr>
      <vt:lpstr>Rules</vt:lpstr>
      <vt:lpstr>Pivot_Table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RAMIT NANDI</dc:creator>
  <cp:lastModifiedBy>RAMIT NANDI</cp:lastModifiedBy>
  <dcterms:created xsi:type="dcterms:W3CDTF">2025-01-05T04:22:54Z</dcterms:created>
  <dcterms:modified xsi:type="dcterms:W3CDTF">2025-01-05T19:23:56Z</dcterms:modified>
</cp:coreProperties>
</file>